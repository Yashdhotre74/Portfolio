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d\Desktop\Folders\Excel Sheets\"/>
    </mc:Choice>
  </mc:AlternateContent>
  <xr:revisionPtr revIDLastSave="0" documentId="13_ncr:1_{E337E322-232D-4C7F-9FD1-5AD509225835}" xr6:coauthVersionLast="47" xr6:coauthVersionMax="47" xr10:uidLastSave="{00000000-0000-0000-0000-000000000000}"/>
  <bookViews>
    <workbookView xWindow="-120" yWindow="-120" windowWidth="20730" windowHeight="11040" xr2:uid="{D23D42CA-E91A-4AB2-9AFD-135C77F99F72}"/>
  </bookViews>
  <sheets>
    <sheet name="YD_Consolidation_Calculater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  <c r="D2" i="1"/>
  <c r="C2" i="1"/>
  <c r="B2" i="1"/>
  <c r="A2" i="1"/>
  <c r="R2" i="1" s="1"/>
  <c r="Q2" i="1"/>
  <c r="S2" i="1" s="1"/>
  <c r="P2" i="1"/>
  <c r="M2" i="1"/>
  <c r="K2" i="1"/>
  <c r="I2" i="1"/>
  <c r="F2" i="1" l="1"/>
  <c r="L2" i="1"/>
  <c r="N2" i="1" s="1"/>
  <c r="J2" i="1" l="1"/>
</calcChain>
</file>

<file path=xl/sharedStrings.xml><?xml version="1.0" encoding="utf-8"?>
<sst xmlns="http://schemas.openxmlformats.org/spreadsheetml/2006/main" count="53" uniqueCount="46">
  <si>
    <t>Thickness (H in meters)</t>
  </si>
  <si>
    <t>Compression Index (Cc)</t>
  </si>
  <si>
    <t>Initial Void Ratio (e₀)</t>
  </si>
  <si>
    <t>Initial Effective Stress (σ₀' in kPa)</t>
  </si>
  <si>
    <t>Change in Stress (Δσ' in kPa)</t>
  </si>
  <si>
    <t>Settlement (S in meters)</t>
  </si>
  <si>
    <t>Coefficient of Consolidation (C_v in m²/sec)</t>
  </si>
  <si>
    <t>Degree of Consolidation (U in %)</t>
  </si>
  <si>
    <t>Time Factor (T_v)</t>
  </si>
  <si>
    <t>Time (t in days)</t>
  </si>
  <si>
    <t>Drainage Condition</t>
  </si>
  <si>
    <t>Double</t>
  </si>
  <si>
    <t>Effective Drainage Path (H_eff in m)</t>
  </si>
  <si>
    <t>Thickness Unit</t>
  </si>
  <si>
    <t>Time Unit</t>
  </si>
  <si>
    <t>Adjusted Thickness (H)</t>
  </si>
  <si>
    <t>Adjusted Time (t)</t>
  </si>
  <si>
    <t>How to Use the Consolidation Settlement Sheet:</t>
  </si>
  <si>
    <t xml:space="preserve">   - Soil Thickness (H) in meters</t>
  </si>
  <si>
    <t xml:space="preserve">   - Compression Index (Cc)</t>
  </si>
  <si>
    <t xml:space="preserve">   - Initial Void Ratio (e₀)</t>
  </si>
  <si>
    <t xml:space="preserve">   - Initial Effective Stress (σ₀') in kPa</t>
  </si>
  <si>
    <t xml:space="preserve">   - Change in Stress (Δσ') in kPa</t>
  </si>
  <si>
    <t xml:space="preserve">   - Coefficient of Consolidation (Cₑ) in m²/sec</t>
  </si>
  <si>
    <t xml:space="preserve">   - Degree of Consolidation (U) as a percentage</t>
  </si>
  <si>
    <t xml:space="preserve">   - Drainage Condition: Select Single or Double</t>
  </si>
  <si>
    <t xml:space="preserve">   - Settlement (m)</t>
  </si>
  <si>
    <t xml:space="preserve">   - Time for Consolidation (days)</t>
  </si>
  <si>
    <t xml:space="preserve">   - Degree of Consolidation for given time</t>
  </si>
  <si>
    <t xml:space="preserve"> Enter the following inputs in the respective columns:</t>
  </si>
  <si>
    <t xml:space="preserve">1) </t>
  </si>
  <si>
    <t xml:space="preserve">2) </t>
  </si>
  <si>
    <t xml:space="preserve">3) </t>
  </si>
  <si>
    <t>4)</t>
  </si>
  <si>
    <t xml:space="preserve"> Highlighted cells indicate critical results for easy analysis.</t>
  </si>
  <si>
    <t>Review the chart for a visual representation of settlement over time.</t>
  </si>
  <si>
    <r>
      <t xml:space="preserve"> </t>
    </r>
    <r>
      <rPr>
        <b/>
        <sz val="11"/>
        <color theme="1"/>
        <rFont val="Aptos Narrow"/>
        <family val="2"/>
        <scheme val="minor"/>
      </rPr>
      <t>The sheet will automatically calculate:</t>
    </r>
  </si>
  <si>
    <t>Soil Layer Thickness (H) :</t>
  </si>
  <si>
    <t>Initial Effective Stress (σ₀')</t>
  </si>
  <si>
    <t>Change in Stress (Δσ')</t>
  </si>
  <si>
    <t>Coefficient of Consolidation (C_v)</t>
  </si>
  <si>
    <t>Degree of Consolidation (U)</t>
  </si>
  <si>
    <t>Input Data :</t>
  </si>
  <si>
    <t>Time ( t in Days )</t>
  </si>
  <si>
    <t>Meters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</si>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</sst>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Border="1"/>
    <xf numFmtId="0" fontId="0" fillId="3" borderId="0" xfId="0" applyFill="1" applyBorder="1"/>
    <xf numFmtId="0" fontId="1" fillId="0" borderId="1" xfId="0" applyFont="1" applyBorder="1"/>
    <xf numFmtId="0" fontId="0" fillId="0" borderId="2" xfId="0" applyBorder="1"/>
    <xf numFmtId="0" fontId="1" fillId="0" borderId="1" xfId="0" applyFont="1" applyFill="1" applyBorder="1"/>
    <xf numFmtId="0" fontId="0" fillId="0" borderId="1" xfId="0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0" fillId="5" borderId="1" xfId="0" applyFill="1" applyBorder="1"/>
    <xf numFmtId="2" fontId="0" fillId="5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8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YD_Consolidation_Calculater!$F$2:$F$201</c:f>
              <c:numCache>
                <c:formatCode>General</c:formatCode>
                <c:ptCount val="200"/>
                <c:pt idx="0">
                  <c:v>8.1831699979813294E-2</c:v>
                </c:pt>
              </c:numCache>
            </c:numRef>
          </c:xVal>
          <c:yVal>
            <c:numRef>
              <c:f>YD_Consolidation_Calculater!$M$2:$M$201</c:f>
              <c:numCache>
                <c:formatCode>General</c:formatCode>
                <c:ptCount val="200"/>
                <c:pt idx="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79-45F9-8D82-279320C5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049535"/>
        <c:axId val="1308045695"/>
      </c:scatterChart>
      <c:valAx>
        <c:axId val="130804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Settlement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045695"/>
        <c:crosses val="autoZero"/>
        <c:crossBetween val="midCat"/>
      </c:valAx>
      <c:valAx>
        <c:axId val="130804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Time in Days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04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1295043</xdr:colOff>
      <xdr:row>4</xdr:row>
      <xdr:rowOff>16884</xdr:rowOff>
    </xdr:from>
    <xdr:to>
      <xdr:col>5</xdr:col>
      <xdr:colOff>797706</xdr:colOff>
      <xdr:row>18</xdr:row>
      <xdr:rowOff>93084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36722-491B-1A08-2826-AF84D1F50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CF79-5E6D-4C90-A37C-6CC4838CFC00}">
  <sheetPr>
    <pageSetUpPr fitToPage="1"/>
  </sheetPr>
  <dimension ref="A1:T15"/>
  <sheetViews>
    <sheetView tabSelected="1" zoomScale="85" zoomScaleNormal="85" workbookViewId="0">
      <selection activeCell="B5" sqref="B5"/>
    </sheetView>
  </sheetViews>
  <sheetFormatPr defaultRowHeight="15" x14ac:dyDescent="0.25"/>
  <cols>
    <col min="1" max="1" width="32.5703125" bestFit="1" customWidth="1"/>
    <col min="2" max="2" width="22.28515625" customWidth="1"/>
    <col min="3" max="3" width="19.42578125" customWidth="1"/>
    <col min="4" max="4" width="30.140625" customWidth="1"/>
    <col min="5" max="5" width="26.42578125" customWidth="1"/>
    <col min="6" max="6" width="22" customWidth="1"/>
    <col min="7" max="7" width="39.7109375" customWidth="1"/>
    <col min="8" max="8" width="30" customWidth="1"/>
    <col min="9" max="9" width="16" customWidth="1"/>
    <col min="10" max="10" width="14.5703125" customWidth="1"/>
    <col min="11" max="11" width="18.28515625" customWidth="1"/>
    <col min="12" max="12" width="32.140625" customWidth="1"/>
    <col min="13" max="13" width="14.5703125" customWidth="1"/>
    <col min="14" max="14" width="33.140625" customWidth="1"/>
    <col min="15" max="15" width="9.140625" customWidth="1"/>
    <col min="16" max="16" width="15.140625" customWidth="1"/>
    <col min="17" max="17" width="10.5703125" customWidth="1"/>
    <col min="18" max="18" width="23.7109375" customWidth="1"/>
    <col min="19" max="19" width="18.28515625" customWidth="1"/>
    <col min="20" max="21" width="9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9</v>
      </c>
      <c r="N1" s="1" t="s">
        <v>7</v>
      </c>
      <c r="O1" s="4"/>
      <c r="P1" s="1" t="s">
        <v>13</v>
      </c>
      <c r="Q1" s="1" t="s">
        <v>14</v>
      </c>
      <c r="R1" s="1" t="s">
        <v>15</v>
      </c>
      <c r="S1" s="1" t="s">
        <v>16</v>
      </c>
    </row>
    <row r="2" spans="1:20" x14ac:dyDescent="0.25">
      <c r="A2" s="2">
        <f>B5</f>
        <v>2</v>
      </c>
      <c r="B2" s="2">
        <f>B6</f>
        <v>0.28000000000000003</v>
      </c>
      <c r="C2" s="2">
        <f>B7</f>
        <v>1.95</v>
      </c>
      <c r="D2" s="2">
        <f>B8</f>
        <v>150</v>
      </c>
      <c r="E2" s="2">
        <f>B9</f>
        <v>60</v>
      </c>
      <c r="F2" s="10">
        <f>B2*A2*LOG10((D2+E2)/D2)</f>
        <v>8.1831699979813294E-2</v>
      </c>
      <c r="G2" s="2">
        <f>B10</f>
        <v>1E-4</v>
      </c>
      <c r="H2" s="2">
        <f>B11</f>
        <v>90</v>
      </c>
      <c r="I2" s="10">
        <f>IF(H2&lt;60,PI()/4*(H2/100)^2,1.7813-0.9332*LOG10(100-H2))</f>
        <v>0.84810000000000008</v>
      </c>
      <c r="J2" s="11">
        <f>(I2*L2^2)/G2/86400</f>
        <v>9.8159722222222218E-2</v>
      </c>
      <c r="K2" s="2" t="str">
        <f>B12</f>
        <v>Double</v>
      </c>
      <c r="L2" s="10">
        <f>IF(K2="Double",A2/2,A2)</f>
        <v>1</v>
      </c>
      <c r="M2" s="2">
        <f>B13</f>
        <v>1000</v>
      </c>
      <c r="N2" s="11">
        <f>MIN(IF((M2*86400*G2)/L2^2&lt;0.287,SQRT(4/PI()*((M2*86400*G2)/L2^2))*100,100-10^(1.7813-((M2*86400*G2)/L2^2)/0.9332)),100)</f>
        <v>100</v>
      </c>
      <c r="O2" s="6"/>
      <c r="P2" s="2" t="str">
        <f>B14</f>
        <v>Meters</v>
      </c>
      <c r="Q2" s="2" t="str">
        <f>B15</f>
        <v>Seconds</v>
      </c>
      <c r="R2" s="10">
        <f>IF(P2="Centimeters",A2/100,A2)</f>
        <v>2</v>
      </c>
      <c r="S2" s="10">
        <f>IF(Q2="Seconds",M2*86400,M2)</f>
        <v>86400000</v>
      </c>
    </row>
    <row r="3" spans="1:2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8.75" x14ac:dyDescent="0.3">
      <c r="A4" s="12" t="s">
        <v>42</v>
      </c>
      <c r="B4" s="12"/>
    </row>
    <row r="5" spans="1:20" x14ac:dyDescent="0.25">
      <c r="A5" s="5" t="s">
        <v>37</v>
      </c>
      <c r="B5" s="8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5" t="s">
        <v>1</v>
      </c>
      <c r="B6" s="8">
        <v>0.28000000000000003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5" t="s">
        <v>2</v>
      </c>
      <c r="B7" s="8">
        <v>1.95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5" t="s">
        <v>38</v>
      </c>
      <c r="B8" s="8">
        <v>150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5" t="s">
        <v>39</v>
      </c>
      <c r="B9" s="8">
        <v>60</v>
      </c>
    </row>
    <row r="10" spans="1:20" x14ac:dyDescent="0.25">
      <c r="A10" s="5" t="s">
        <v>40</v>
      </c>
      <c r="B10" s="8">
        <v>1E-4</v>
      </c>
    </row>
    <row r="11" spans="1:20" x14ac:dyDescent="0.25">
      <c r="A11" s="5" t="s">
        <v>41</v>
      </c>
      <c r="B11" s="8">
        <v>90</v>
      </c>
    </row>
    <row r="12" spans="1:20" x14ac:dyDescent="0.25">
      <c r="A12" s="5" t="s">
        <v>10</v>
      </c>
      <c r="B12" s="8" t="s">
        <v>11</v>
      </c>
    </row>
    <row r="13" spans="1:20" x14ac:dyDescent="0.25">
      <c r="A13" s="5" t="s">
        <v>43</v>
      </c>
      <c r="B13" s="9">
        <v>1000</v>
      </c>
    </row>
    <row r="14" spans="1:20" x14ac:dyDescent="0.25">
      <c r="A14" s="7" t="s">
        <v>13</v>
      </c>
      <c r="B14" s="8" t="s">
        <v>44</v>
      </c>
    </row>
    <row r="15" spans="1:20" x14ac:dyDescent="0.25">
      <c r="A15" s="7" t="s">
        <v>14</v>
      </c>
      <c r="B15" s="8" t="s">
        <v>45</v>
      </c>
    </row>
  </sheetData>
  <sheetProtection algorithmName="SHA-512" hashValue="lV5o4fD2k3yHLcT0+n/O/QW09DjE7s7Uo8X9rHGUzvQ3Lmt2Xfw+NHVCFyk0uhmqX0bJTRN9wJa1m0LtwyG2Ww==" saltValue="MuBVK/y7yaj3zhFLIYAK5A==" spinCount="100000" sheet="1" objects="1" scenarios="1" selectLockedCells="1"/>
  <mergeCells count="1">
    <mergeCell ref="A4:B4"/>
  </mergeCells>
  <conditionalFormatting sqref="F2:F3 F5:F378">
    <cfRule type="cellIs" dxfId="1" priority="2" operator="greaterThan">
      <formula>0.1</formula>
    </cfRule>
  </conditionalFormatting>
  <conditionalFormatting sqref="J2:J3 J5:J378">
    <cfRule type="cellIs" dxfId="0" priority="1" operator="greaterThan">
      <formula>100</formula>
    </cfRule>
  </conditionalFormatting>
  <dataValidations disablePrompts="1" count="3">
    <dataValidation type="list" allowBlank="1" showInputMessage="1" showErrorMessage="1" sqref="B14" xr:uid="{3605E8D7-998B-4E10-94CF-4721FD6EB4EF}">
      <formula1>"Meters, Centimeters"</formula1>
    </dataValidation>
    <dataValidation type="list" allowBlank="1" showInputMessage="1" showErrorMessage="1" sqref="B15" xr:uid="{3963A17B-F3E4-46D2-B1D2-A6C2145AA8FF}">
      <formula1>"Days, Seconds"</formula1>
    </dataValidation>
    <dataValidation type="list" allowBlank="1" showInputMessage="1" showErrorMessage="1" sqref="B12" xr:uid="{E014E5FA-A9AE-4D59-BAE5-B8EABAB6F2BE}">
      <formula1>"Double,Single"</formula1>
    </dataValidation>
  </dataValidations>
  <pageMargins left="0.7" right="0.7" top="0.75" bottom="0.75" header="0.3" footer="0.3"/>
  <pageSetup paperSize="9" scale="3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C2E4-3059-4C5B-84EF-282F9E7FE665}">
  <dimension ref="A1:B21"/>
  <sheetViews>
    <sheetView workbookViewId="0">
      <selection activeCell="E7" sqref="E7"/>
    </sheetView>
  </sheetViews>
  <sheetFormatPr defaultRowHeight="15" x14ac:dyDescent="0.25"/>
  <cols>
    <col min="1" max="1" width="3.140625" bestFit="1" customWidth="1"/>
    <col min="2" max="2" width="63.140625" bestFit="1" customWidth="1"/>
  </cols>
  <sheetData>
    <row r="1" spans="1:2" x14ac:dyDescent="0.25">
      <c r="A1" s="13" t="s">
        <v>17</v>
      </c>
      <c r="B1" s="13"/>
    </row>
    <row r="2" spans="1:2" x14ac:dyDescent="0.25">
      <c r="A2" s="13"/>
      <c r="B2" s="13"/>
    </row>
    <row r="3" spans="1:2" x14ac:dyDescent="0.25">
      <c r="A3" s="2" t="s">
        <v>30</v>
      </c>
      <c r="B3" s="5" t="s">
        <v>29</v>
      </c>
    </row>
    <row r="4" spans="1:2" x14ac:dyDescent="0.25">
      <c r="A4" s="2"/>
      <c r="B4" s="2" t="s">
        <v>18</v>
      </c>
    </row>
    <row r="5" spans="1:2" x14ac:dyDescent="0.25">
      <c r="A5" s="2"/>
      <c r="B5" s="2" t="s">
        <v>19</v>
      </c>
    </row>
    <row r="6" spans="1:2" x14ac:dyDescent="0.25">
      <c r="A6" s="2"/>
      <c r="B6" s="2" t="s">
        <v>20</v>
      </c>
    </row>
    <row r="7" spans="1:2" x14ac:dyDescent="0.25">
      <c r="A7" s="2"/>
      <c r="B7" s="2" t="s">
        <v>21</v>
      </c>
    </row>
    <row r="8" spans="1:2" x14ac:dyDescent="0.25">
      <c r="A8" s="2"/>
      <c r="B8" s="2" t="s">
        <v>22</v>
      </c>
    </row>
    <row r="9" spans="1:2" x14ac:dyDescent="0.25">
      <c r="A9" s="2"/>
      <c r="B9" s="2" t="s">
        <v>23</v>
      </c>
    </row>
    <row r="10" spans="1:2" x14ac:dyDescent="0.25">
      <c r="A10" s="2"/>
      <c r="B10" s="2" t="s">
        <v>24</v>
      </c>
    </row>
    <row r="11" spans="1:2" x14ac:dyDescent="0.25">
      <c r="A11" s="2"/>
      <c r="B11" s="2" t="s">
        <v>25</v>
      </c>
    </row>
    <row r="12" spans="1:2" x14ac:dyDescent="0.25">
      <c r="A12" s="2"/>
      <c r="B12" s="2"/>
    </row>
    <row r="13" spans="1:2" x14ac:dyDescent="0.25">
      <c r="A13" s="2" t="s">
        <v>31</v>
      </c>
      <c r="B13" s="2" t="s">
        <v>36</v>
      </c>
    </row>
    <row r="14" spans="1:2" x14ac:dyDescent="0.25">
      <c r="A14" s="2"/>
      <c r="B14" s="2" t="s">
        <v>26</v>
      </c>
    </row>
    <row r="15" spans="1:2" x14ac:dyDescent="0.25">
      <c r="A15" s="2"/>
      <c r="B15" s="2" t="s">
        <v>27</v>
      </c>
    </row>
    <row r="16" spans="1:2" x14ac:dyDescent="0.25">
      <c r="A16" s="2"/>
      <c r="B16" s="2" t="s">
        <v>28</v>
      </c>
    </row>
    <row r="17" spans="1:2" x14ac:dyDescent="0.25">
      <c r="A17" s="2"/>
      <c r="B17" s="2"/>
    </row>
    <row r="18" spans="1:2" x14ac:dyDescent="0.25">
      <c r="A18" s="2" t="s">
        <v>32</v>
      </c>
      <c r="B18" s="5" t="s">
        <v>35</v>
      </c>
    </row>
    <row r="19" spans="1:2" x14ac:dyDescent="0.25">
      <c r="A19" s="2"/>
      <c r="B19" s="2"/>
    </row>
    <row r="20" spans="1:2" x14ac:dyDescent="0.25">
      <c r="A20" s="2" t="s">
        <v>33</v>
      </c>
      <c r="B20" s="5" t="s">
        <v>34</v>
      </c>
    </row>
    <row r="21" spans="1:2" x14ac:dyDescent="0.25">
      <c r="A21" s="2"/>
      <c r="B21" s="2"/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YD_Consolidation_Calculater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dhotre</dc:creator>
  <cp:lastModifiedBy>yash dhotre</cp:lastModifiedBy>
  <cp:lastPrinted>2025-01-25T14:36:20Z</cp:lastPrinted>
  <dcterms:created xsi:type="dcterms:W3CDTF">2024-12-21T15:11:25Z</dcterms:created>
  <dcterms:modified xsi:type="dcterms:W3CDTF">2025-01-25T14:36:52Z</dcterms:modified>
</cp:coreProperties>
</file>