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shd\Desktop\Folders\Excel Sheets\"/>
    </mc:Choice>
  </mc:AlternateContent>
  <xr:revisionPtr revIDLastSave="0" documentId="13_ncr:1_{852610E0-8740-4EF3-A3C5-8D5E7937A5A6}" xr6:coauthVersionLast="47" xr6:coauthVersionMax="47" xr10:uidLastSave="{00000000-0000-0000-0000-000000000000}"/>
  <bookViews>
    <workbookView xWindow="7425" yWindow="0" windowWidth="13170" windowHeight="10905" xr2:uid="{D04721C3-5728-44F6-810C-900329D32B9A}"/>
  </bookViews>
  <sheets>
    <sheet name="YD_Mix-design_Calcula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  <c r="B13" i="1"/>
  <c r="B14" i="1" s="1"/>
  <c r="B15" i="1"/>
  <c r="B22" i="1" s="1"/>
  <c r="B17" i="1" l="1"/>
  <c r="B18" i="1" s="1"/>
  <c r="B23" i="1" s="1"/>
  <c r="B19" i="1"/>
  <c r="B24" i="1" s="1"/>
  <c r="B21" i="1"/>
</calcChain>
</file>

<file path=xl/sharedStrings.xml><?xml version="1.0" encoding="utf-8"?>
<sst xmlns="http://schemas.openxmlformats.org/spreadsheetml/2006/main" count="46" uniqueCount="35">
  <si>
    <t>Concrete Grade</t>
  </si>
  <si>
    <t>-</t>
  </si>
  <si>
    <t>Target Mean Strength</t>
  </si>
  <si>
    <t>N/mm²</t>
  </si>
  <si>
    <t>Maximum Aggregate Size</t>
  </si>
  <si>
    <t>mm</t>
  </si>
  <si>
    <t>Slump</t>
  </si>
  <si>
    <t>Specific Gravity of Cement</t>
  </si>
  <si>
    <t>Specific Gravity of Coarse Aggregate</t>
  </si>
  <si>
    <t>Specific Gravity of Fine Aggregate</t>
  </si>
  <si>
    <t>Water Absorption (Coarse Aggregate)</t>
  </si>
  <si>
    <t>%</t>
  </si>
  <si>
    <t>Water Absorption (Fine Aggregate)</t>
  </si>
  <si>
    <t>Water-Cement Ratio</t>
  </si>
  <si>
    <t>Input Parameters</t>
  </si>
  <si>
    <t>M40</t>
  </si>
  <si>
    <t>Standard Deviation</t>
  </si>
  <si>
    <t>Water Content (kg)</t>
  </si>
  <si>
    <t>Numeric Grade</t>
  </si>
  <si>
    <t>Cement Content (kg)</t>
  </si>
  <si>
    <t>Fine Aggregate Content (kg)</t>
  </si>
  <si>
    <t>Coarse Aggregate Content (kg)</t>
  </si>
  <si>
    <t>Coarse Aggregate Content (kg</t>
  </si>
  <si>
    <t>Instructions:</t>
  </si>
  <si>
    <t xml:space="preserve"> Check the Output Summary for the mix proportions.</t>
  </si>
  <si>
    <t xml:space="preserve"> Adjust inputs to explore different mix designs.</t>
  </si>
  <si>
    <t>step 1 :</t>
  </si>
  <si>
    <t>step 2 :</t>
  </si>
  <si>
    <t>step 3 :</t>
  </si>
  <si>
    <t>step 4 :</t>
  </si>
  <si>
    <t>Exposure Condition</t>
  </si>
  <si>
    <t>Severe</t>
  </si>
  <si>
    <t>Fill All Details that showing in green colour</t>
  </si>
  <si>
    <t>If any value miss to inter that shows in Red colour</t>
  </si>
  <si>
    <r>
      <rPr>
        <b/>
        <sz val="18"/>
        <color theme="1"/>
        <rFont val="Aptos Narrow"/>
        <family val="2"/>
        <scheme val="minor"/>
      </rPr>
      <t xml:space="preserve">Created By : </t>
    </r>
    <r>
      <rPr>
        <sz val="18"/>
        <color theme="1"/>
        <rFont val="Aptos Narrow"/>
        <family val="2"/>
        <scheme val="minor"/>
      </rPr>
      <t xml:space="preserve"> Yash Sunil Dhotre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</si>
</sst>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 applyProtection="1">
      <alignment horizontal="right" vertical="center" wrapText="1"/>
      <protection locked="0"/>
    </xf>
    <xf numFmtId="0" fontId="0" fillId="0" borderId="1" xfId="0" applyBorder="1" applyAlignment="1" applyProtection="1">
      <alignment vertical="center" wrapText="1"/>
      <protection locked="0"/>
    </xf>
    <xf numFmtId="0" fontId="0" fillId="0" borderId="1" xfId="0" applyBorder="1" applyProtection="1">
      <protection locked="0"/>
    </xf>
    <xf numFmtId="0" fontId="0" fillId="9" borderId="1" xfId="0" applyFill="1" applyBorder="1" applyAlignment="1" applyProtection="1">
      <alignment vertical="center" wrapText="1"/>
      <protection hidden="1"/>
    </xf>
    <xf numFmtId="0" fontId="0" fillId="0" borderId="1" xfId="0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1" fillId="8" borderId="1" xfId="0" applyFont="1" applyFill="1" applyBorder="1" applyProtection="1">
      <protection hidden="1"/>
    </xf>
    <xf numFmtId="0" fontId="0" fillId="8" borderId="1" xfId="0" applyFill="1" applyBorder="1" applyAlignment="1" applyProtection="1">
      <alignment horizontal="left"/>
      <protection hidden="1"/>
    </xf>
    <xf numFmtId="0" fontId="3" fillId="8" borderId="0" xfId="0" applyFont="1" applyFill="1" applyBorder="1" applyProtection="1">
      <protection hidden="1"/>
    </xf>
    <xf numFmtId="0" fontId="0" fillId="9" borderId="1" xfId="0" applyFill="1" applyBorder="1" applyProtection="1">
      <protection hidden="1"/>
    </xf>
    <xf numFmtId="0" fontId="0" fillId="0" borderId="1" xfId="0" applyBorder="1" applyProtection="1">
      <protection hidden="1"/>
    </xf>
    <xf numFmtId="0" fontId="0" fillId="0" borderId="0" xfId="0" applyAlignment="1" applyProtection="1">
      <alignment horizontal="center"/>
      <protection hidden="1"/>
    </xf>
    <xf numFmtId="0" fontId="0" fillId="8" borderId="1" xfId="0" applyFill="1" applyBorder="1" applyProtection="1">
      <protection hidden="1"/>
    </xf>
    <xf numFmtId="0" fontId="2" fillId="3" borderId="1" xfId="0" applyFont="1" applyFill="1" applyBorder="1" applyProtection="1">
      <protection hidden="1"/>
    </xf>
    <xf numFmtId="0" fontId="0" fillId="4" borderId="1" xfId="0" applyFill="1" applyBorder="1" applyProtection="1">
      <protection hidden="1"/>
    </xf>
    <xf numFmtId="0" fontId="0" fillId="6" borderId="1" xfId="0" applyFill="1" applyBorder="1" applyProtection="1">
      <protection hidden="1"/>
    </xf>
    <xf numFmtId="0" fontId="0" fillId="5" borderId="1" xfId="0" applyFill="1" applyBorder="1" applyProtection="1">
      <protection hidden="1"/>
    </xf>
    <xf numFmtId="0" fontId="1" fillId="2" borderId="1" xfId="0" applyFont="1" applyFill="1" applyBorder="1" applyProtection="1">
      <protection hidden="1"/>
    </xf>
    <xf numFmtId="0" fontId="0" fillId="2" borderId="1" xfId="0" applyFill="1" applyBorder="1" applyProtection="1">
      <protection hidden="1"/>
    </xf>
    <xf numFmtId="0" fontId="0" fillId="2" borderId="1" xfId="0" applyFill="1" applyBorder="1" applyAlignment="1" applyProtection="1">
      <alignment horizontal="center"/>
      <protection hidden="1"/>
    </xf>
    <xf numFmtId="0" fontId="0" fillId="7" borderId="1" xfId="0" applyFill="1" applyBorder="1" applyProtection="1">
      <protection hidden="1"/>
    </xf>
    <xf numFmtId="0" fontId="1" fillId="7" borderId="1" xfId="0" applyFont="1" applyFill="1" applyBorder="1" applyAlignment="1" applyProtection="1">
      <alignment horizontal="center"/>
      <protection hidden="1"/>
    </xf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Concrete Mix Proportionl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7C4-4906-8D54-F18EF8033E6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7C4-4906-8D54-F18EF8033E6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7C4-4906-8D54-F18EF8033E6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7C4-4906-8D54-F18EF8033E66}"/>
              </c:ext>
            </c:extLst>
          </c:dPt>
          <c:val>
            <c:numRef>
              <c:f>'YD_Mix-design_Calculater'!$B$21:$B$24</c:f>
              <c:numCache>
                <c:formatCode>General</c:formatCode>
                <c:ptCount val="4"/>
                <c:pt idx="0">
                  <c:v>351.11111111111109</c:v>
                </c:pt>
                <c:pt idx="1">
                  <c:v>158</c:v>
                </c:pt>
                <c:pt idx="2">
                  <c:v>122.88888888888887</c:v>
                </c:pt>
                <c:pt idx="3">
                  <c:v>228.2222222222222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A5-4C9E-8AE1-2613CF6BC7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313764</xdr:colOff>
      <xdr:row>11</xdr:row>
      <xdr:rowOff>4762</xdr:rowOff>
    </xdr:from>
    <xdr:to>
      <xdr:col>8</xdr:col>
      <xdr:colOff>560295</xdr:colOff>
      <xdr:row>25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7FF1DF-B155-A3BA-EDC5-966148AB8A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AA05C-9EB9-4D68-917A-EBD786927A76}">
  <sheetPr>
    <pageSetUpPr fitToPage="1"/>
  </sheetPr>
  <dimension ref="A1:L27"/>
  <sheetViews>
    <sheetView tabSelected="1" zoomScale="85" zoomScaleNormal="85" workbookViewId="0">
      <selection activeCell="B12" sqref="B12"/>
    </sheetView>
  </sheetViews>
  <sheetFormatPr defaultRowHeight="15" x14ac:dyDescent="0.25"/>
  <cols>
    <col min="1" max="1" width="25" customWidth="1"/>
    <col min="2" max="2" width="12.7109375" customWidth="1"/>
    <col min="3" max="3" width="7.28515625" style="1" bestFit="1" customWidth="1"/>
    <col min="6" max="6" width="20" customWidth="1"/>
    <col min="10" max="10" width="8.140625" customWidth="1"/>
    <col min="11" max="11" width="8.42578125" customWidth="1"/>
  </cols>
  <sheetData>
    <row r="1" spans="1:12" x14ac:dyDescent="0.25">
      <c r="A1" s="19" t="s">
        <v>14</v>
      </c>
      <c r="B1" s="20"/>
      <c r="C1" s="21"/>
      <c r="D1" s="7"/>
      <c r="E1" s="22"/>
      <c r="F1" s="23" t="s">
        <v>23</v>
      </c>
      <c r="G1" s="23"/>
      <c r="H1" s="23"/>
      <c r="I1" s="23"/>
      <c r="J1" s="23"/>
      <c r="K1" s="23"/>
      <c r="L1" s="7"/>
    </row>
    <row r="2" spans="1:12" x14ac:dyDescent="0.25">
      <c r="A2" s="5" t="s">
        <v>0</v>
      </c>
      <c r="B2" s="2" t="s">
        <v>15</v>
      </c>
      <c r="C2" s="6" t="s">
        <v>1</v>
      </c>
      <c r="D2" s="7"/>
      <c r="E2" s="8" t="s">
        <v>26</v>
      </c>
      <c r="F2" s="9" t="s">
        <v>32</v>
      </c>
      <c r="G2" s="9"/>
      <c r="H2" s="9"/>
      <c r="I2" s="9"/>
      <c r="J2" s="9"/>
      <c r="K2" s="9"/>
      <c r="L2" s="7"/>
    </row>
    <row r="3" spans="1:12" x14ac:dyDescent="0.25">
      <c r="A3" s="5" t="s">
        <v>2</v>
      </c>
      <c r="B3" s="3">
        <v>40</v>
      </c>
      <c r="C3" s="6" t="s">
        <v>3</v>
      </c>
      <c r="D3" s="7"/>
      <c r="E3" s="8" t="s">
        <v>27</v>
      </c>
      <c r="F3" s="9" t="s">
        <v>33</v>
      </c>
      <c r="G3" s="9"/>
      <c r="H3" s="9"/>
      <c r="I3" s="9"/>
      <c r="J3" s="9"/>
      <c r="K3" s="9"/>
      <c r="L3" s="7"/>
    </row>
    <row r="4" spans="1:12" x14ac:dyDescent="0.25">
      <c r="A4" s="5" t="s">
        <v>4</v>
      </c>
      <c r="B4" s="3">
        <v>20</v>
      </c>
      <c r="C4" s="6" t="s">
        <v>5</v>
      </c>
      <c r="D4" s="7"/>
      <c r="E4" s="8" t="s">
        <v>28</v>
      </c>
      <c r="F4" s="9" t="s">
        <v>24</v>
      </c>
      <c r="G4" s="9"/>
      <c r="H4" s="9"/>
      <c r="I4" s="9"/>
      <c r="J4" s="9"/>
      <c r="K4" s="9"/>
      <c r="L4" s="7"/>
    </row>
    <row r="5" spans="1:12" x14ac:dyDescent="0.25">
      <c r="A5" s="5" t="s">
        <v>6</v>
      </c>
      <c r="B5" s="3">
        <v>100</v>
      </c>
      <c r="C5" s="6" t="s">
        <v>5</v>
      </c>
      <c r="D5" s="7"/>
      <c r="E5" s="8" t="s">
        <v>29</v>
      </c>
      <c r="F5" s="9" t="s">
        <v>25</v>
      </c>
      <c r="G5" s="9"/>
      <c r="H5" s="9"/>
      <c r="I5" s="9"/>
      <c r="J5" s="9"/>
      <c r="K5" s="9"/>
      <c r="L5" s="7"/>
    </row>
    <row r="6" spans="1:12" x14ac:dyDescent="0.25">
      <c r="A6" s="5" t="s">
        <v>7</v>
      </c>
      <c r="B6" s="3"/>
      <c r="C6" s="6" t="s">
        <v>1</v>
      </c>
      <c r="D6" s="7"/>
      <c r="E6" s="7"/>
      <c r="F6" s="7"/>
      <c r="G6" s="7"/>
      <c r="H6" s="7"/>
      <c r="I6" s="7"/>
      <c r="J6" s="7"/>
      <c r="K6" s="7"/>
      <c r="L6" s="7"/>
    </row>
    <row r="7" spans="1:12" ht="30" x14ac:dyDescent="0.25">
      <c r="A7" s="5" t="s">
        <v>8</v>
      </c>
      <c r="B7" s="3"/>
      <c r="C7" s="6" t="s">
        <v>1</v>
      </c>
      <c r="D7" s="7"/>
      <c r="E7" s="7"/>
      <c r="F7" s="7"/>
      <c r="G7" s="7"/>
      <c r="H7" s="7"/>
      <c r="I7" s="7"/>
      <c r="J7" s="7"/>
      <c r="K7" s="7"/>
      <c r="L7" s="7"/>
    </row>
    <row r="8" spans="1:12" ht="30" x14ac:dyDescent="0.4">
      <c r="A8" s="5" t="s">
        <v>9</v>
      </c>
      <c r="B8" s="3"/>
      <c r="C8" s="6" t="s">
        <v>1</v>
      </c>
      <c r="D8" s="7"/>
      <c r="E8" s="10" t="s">
        <v>34</v>
      </c>
      <c r="F8" s="7"/>
      <c r="G8" s="7"/>
      <c r="H8" s="7"/>
      <c r="I8" s="7"/>
      <c r="J8" s="7"/>
      <c r="K8" s="7"/>
      <c r="L8" s="7"/>
    </row>
    <row r="9" spans="1:12" ht="30" x14ac:dyDescent="0.25">
      <c r="A9" s="5" t="s">
        <v>10</v>
      </c>
      <c r="B9" s="3"/>
      <c r="C9" s="6" t="s">
        <v>11</v>
      </c>
      <c r="D9" s="7"/>
      <c r="E9" s="7"/>
      <c r="F9" s="7"/>
      <c r="G9" s="7"/>
      <c r="H9" s="7"/>
      <c r="I9" s="7"/>
      <c r="J9" s="7"/>
      <c r="K9" s="7"/>
      <c r="L9" s="7"/>
    </row>
    <row r="10" spans="1:12" ht="30" x14ac:dyDescent="0.25">
      <c r="A10" s="5" t="s">
        <v>12</v>
      </c>
      <c r="B10" s="3"/>
      <c r="C10" s="6" t="s">
        <v>11</v>
      </c>
      <c r="D10" s="7"/>
      <c r="E10" s="7"/>
      <c r="F10" s="7"/>
      <c r="G10" s="7"/>
      <c r="H10" s="7"/>
      <c r="I10" s="7"/>
      <c r="J10" s="7"/>
      <c r="K10" s="7"/>
      <c r="L10" s="7"/>
    </row>
    <row r="11" spans="1:12" x14ac:dyDescent="0.25">
      <c r="A11" s="5" t="s">
        <v>13</v>
      </c>
      <c r="B11" s="3"/>
      <c r="C11" s="6" t="s">
        <v>1</v>
      </c>
      <c r="D11" s="7"/>
      <c r="E11" s="7"/>
      <c r="F11" s="7"/>
      <c r="G11" s="7"/>
      <c r="H11" s="7"/>
      <c r="I11" s="7"/>
      <c r="J11" s="7"/>
      <c r="K11" s="7"/>
      <c r="L11" s="7"/>
    </row>
    <row r="12" spans="1:12" x14ac:dyDescent="0.25">
      <c r="A12" s="11" t="s">
        <v>16</v>
      </c>
      <c r="B12" s="4">
        <v>5</v>
      </c>
      <c r="C12" s="13"/>
      <c r="D12" s="7"/>
      <c r="E12" s="7"/>
      <c r="F12" s="7"/>
      <c r="G12" s="7"/>
      <c r="H12" s="7"/>
      <c r="I12" s="7"/>
      <c r="J12" s="7"/>
      <c r="K12" s="7"/>
      <c r="L12" s="7"/>
    </row>
    <row r="13" spans="1:12" x14ac:dyDescent="0.25">
      <c r="A13" s="12" t="s">
        <v>18</v>
      </c>
      <c r="B13" s="12">
        <f>IF(ISNUMBER(VALUE(MID(B2,2,LEN(B2)-1))), VALUE(MID(B2,2,LEN(B2)-1)), 0)</f>
        <v>40</v>
      </c>
      <c r="C13" s="13"/>
      <c r="D13" s="7"/>
      <c r="E13" s="7"/>
      <c r="F13" s="7"/>
      <c r="G13" s="7"/>
      <c r="H13" s="7"/>
      <c r="I13" s="7"/>
      <c r="J13" s="7"/>
      <c r="K13" s="7"/>
      <c r="L13" s="7"/>
    </row>
    <row r="14" spans="1:12" x14ac:dyDescent="0.25">
      <c r="A14" s="12" t="s">
        <v>2</v>
      </c>
      <c r="B14" s="12">
        <f>B13 + 1.65 * B12</f>
        <v>48.25</v>
      </c>
      <c r="C14" s="13"/>
      <c r="D14" s="7"/>
      <c r="E14" s="7"/>
      <c r="F14" s="7"/>
      <c r="G14" s="7"/>
      <c r="H14" s="7"/>
      <c r="I14" s="7"/>
      <c r="J14" s="7"/>
      <c r="K14" s="7"/>
      <c r="L14" s="7"/>
    </row>
    <row r="15" spans="1:12" x14ac:dyDescent="0.25">
      <c r="A15" s="12" t="s">
        <v>17</v>
      </c>
      <c r="B15" s="12">
        <f>IF(B4=20, IF(B5=100, 158, 170), IF(B4=10, 150, 180))</f>
        <v>158</v>
      </c>
      <c r="C15" s="13"/>
      <c r="D15" s="7"/>
      <c r="E15" s="7"/>
      <c r="F15" s="7"/>
      <c r="G15" s="7"/>
      <c r="H15" s="7"/>
      <c r="I15" s="7"/>
      <c r="J15" s="7"/>
      <c r="K15" s="7"/>
      <c r="L15" s="7"/>
    </row>
    <row r="16" spans="1:12" x14ac:dyDescent="0.25">
      <c r="A16" s="14" t="s">
        <v>13</v>
      </c>
      <c r="B16" s="12">
        <f>IF(B20="Mild", 0.55, IF(B20="Moderate", 0.5, IF(B20="Severe", 0.45, IF(B20="Very Severe", 0.4, IF(B20="Extreme", 0.35, "")))))</f>
        <v>0.45</v>
      </c>
      <c r="C16" s="13"/>
      <c r="D16" s="7"/>
      <c r="E16" s="7"/>
      <c r="F16" s="7"/>
      <c r="G16" s="7"/>
      <c r="H16" s="7"/>
      <c r="I16" s="7"/>
      <c r="J16" s="7"/>
      <c r="K16" s="7"/>
      <c r="L16" s="7"/>
    </row>
    <row r="17" spans="1:12" x14ac:dyDescent="0.25">
      <c r="A17" s="12" t="s">
        <v>19</v>
      </c>
      <c r="B17" s="12">
        <f>B15 / B16</f>
        <v>351.11111111111109</v>
      </c>
      <c r="C17" s="13"/>
      <c r="D17" s="7"/>
      <c r="E17" s="7"/>
      <c r="F17" s="7"/>
      <c r="G17" s="7"/>
      <c r="H17" s="7"/>
      <c r="I17" s="7"/>
      <c r="J17" s="7"/>
      <c r="K17" s="7"/>
      <c r="L17" s="7"/>
    </row>
    <row r="18" spans="1:12" x14ac:dyDescent="0.25">
      <c r="A18" s="12" t="s">
        <v>20</v>
      </c>
      <c r="B18" s="12">
        <f>(B17 * 0.35) * (1 + B10 / 100)</f>
        <v>122.88888888888887</v>
      </c>
      <c r="C18" s="13"/>
      <c r="D18" s="7"/>
      <c r="E18" s="7"/>
      <c r="F18" s="7"/>
      <c r="G18" s="7"/>
      <c r="H18" s="7"/>
      <c r="I18" s="7"/>
      <c r="J18" s="7"/>
      <c r="K18" s="7"/>
      <c r="L18" s="7"/>
    </row>
    <row r="19" spans="1:12" x14ac:dyDescent="0.25">
      <c r="A19" s="12" t="s">
        <v>21</v>
      </c>
      <c r="B19" s="12">
        <f>(B17 * 0.65) * (1 + B9 / 100)</f>
        <v>228.2222222222222</v>
      </c>
      <c r="C19" s="13"/>
      <c r="D19" s="7"/>
      <c r="E19" s="7"/>
      <c r="F19" s="7"/>
      <c r="G19" s="7"/>
      <c r="H19" s="7"/>
      <c r="I19" s="7"/>
      <c r="J19" s="7"/>
      <c r="K19" s="7"/>
      <c r="L19" s="7"/>
    </row>
    <row r="20" spans="1:12" x14ac:dyDescent="0.25">
      <c r="A20" s="11" t="s">
        <v>30</v>
      </c>
      <c r="B20" s="4" t="s">
        <v>31</v>
      </c>
      <c r="C20" s="13"/>
      <c r="D20" s="7"/>
      <c r="E20" s="7"/>
      <c r="F20" s="7"/>
      <c r="G20" s="7"/>
      <c r="H20" s="7"/>
      <c r="I20" s="7"/>
      <c r="J20" s="7"/>
      <c r="K20" s="7"/>
      <c r="L20" s="7"/>
    </row>
    <row r="21" spans="1:12" x14ac:dyDescent="0.25">
      <c r="A21" s="12" t="s">
        <v>19</v>
      </c>
      <c r="B21" s="15">
        <f>B17</f>
        <v>351.11111111111109</v>
      </c>
      <c r="C21" s="13"/>
      <c r="D21" s="7"/>
      <c r="E21" s="7"/>
      <c r="F21" s="7"/>
      <c r="G21" s="7"/>
      <c r="H21" s="7"/>
      <c r="I21" s="7"/>
      <c r="J21" s="7"/>
      <c r="K21" s="7"/>
      <c r="L21" s="7"/>
    </row>
    <row r="22" spans="1:12" x14ac:dyDescent="0.25">
      <c r="A22" s="12" t="s">
        <v>17</v>
      </c>
      <c r="B22" s="16">
        <f>B15</f>
        <v>158</v>
      </c>
      <c r="C22" s="13"/>
      <c r="D22" s="7"/>
      <c r="E22" s="7"/>
      <c r="F22" s="7"/>
      <c r="G22" s="7"/>
      <c r="H22" s="7"/>
      <c r="I22" s="7"/>
      <c r="J22" s="7"/>
      <c r="K22" s="7"/>
      <c r="L22" s="7"/>
    </row>
    <row r="23" spans="1:12" x14ac:dyDescent="0.25">
      <c r="A23" s="12" t="s">
        <v>20</v>
      </c>
      <c r="B23" s="17">
        <f>B18</f>
        <v>122.88888888888887</v>
      </c>
      <c r="C23" s="13"/>
      <c r="D23" s="7"/>
      <c r="E23" s="7"/>
      <c r="F23" s="7"/>
      <c r="G23" s="7"/>
      <c r="H23" s="7"/>
      <c r="I23" s="7"/>
      <c r="J23" s="7"/>
      <c r="K23" s="7"/>
      <c r="L23" s="7"/>
    </row>
    <row r="24" spans="1:12" x14ac:dyDescent="0.25">
      <c r="A24" s="12" t="s">
        <v>22</v>
      </c>
      <c r="B24" s="18">
        <f>B19</f>
        <v>228.2222222222222</v>
      </c>
      <c r="C24" s="13"/>
      <c r="D24" s="7"/>
      <c r="E24" s="7"/>
      <c r="F24" s="7"/>
      <c r="G24" s="7"/>
      <c r="H24" s="7"/>
      <c r="I24" s="7"/>
      <c r="J24" s="7"/>
      <c r="K24" s="7"/>
      <c r="L24" s="7"/>
    </row>
    <row r="25" spans="1:12" x14ac:dyDescent="0.25">
      <c r="A25" s="12"/>
      <c r="B25" s="12"/>
      <c r="C25" s="13"/>
      <c r="D25" s="7"/>
      <c r="E25" s="7"/>
      <c r="F25" s="7"/>
      <c r="G25" s="7"/>
      <c r="H25" s="7"/>
      <c r="I25" s="7"/>
      <c r="J25" s="7"/>
      <c r="K25" s="7"/>
      <c r="L25" s="7"/>
    </row>
    <row r="26" spans="1:12" x14ac:dyDescent="0.25">
      <c r="A26" s="7"/>
      <c r="B26" s="7"/>
      <c r="C26" s="13"/>
      <c r="D26" s="7"/>
      <c r="E26" s="7"/>
      <c r="F26" s="7"/>
      <c r="G26" s="7"/>
      <c r="H26" s="7"/>
      <c r="I26" s="7"/>
      <c r="J26" s="7"/>
      <c r="K26" s="7"/>
      <c r="L26" s="7"/>
    </row>
    <row r="27" spans="1:12" x14ac:dyDescent="0.25">
      <c r="A27" s="7"/>
      <c r="B27" s="7"/>
      <c r="C27" s="13"/>
      <c r="D27" s="7"/>
      <c r="E27" s="7"/>
      <c r="F27" s="7"/>
      <c r="G27" s="7"/>
      <c r="H27" s="7"/>
      <c r="I27" s="7"/>
      <c r="J27" s="7"/>
      <c r="K27" s="7"/>
    </row>
  </sheetData>
  <sheetProtection algorithmName="SHA-512" hashValue="suGAP9umTGNOlGqjxJ9DSXRPAsvrjjyrxHZgBoY9mBXyqaHQWYmjfwPUO59Ns/p4YCBmgCjf5Tunvrsxe64NfQ==" saltValue="iJUPHYwn3/3I2dYqMuEnsg==" spinCount="100000" sheet="1" objects="1" scenarios="1" selectLockedCells="1"/>
  <mergeCells count="5">
    <mergeCell ref="F1:K1"/>
    <mergeCell ref="F2:K2"/>
    <mergeCell ref="F3:K3"/>
    <mergeCell ref="F4:K4"/>
    <mergeCell ref="F5:K5"/>
  </mergeCells>
  <conditionalFormatting sqref="B2:B11 B16">
    <cfRule type="containsBlanks" dxfId="1" priority="2">
      <formula>LEN(TRIM(B2))=0</formula>
    </cfRule>
  </conditionalFormatting>
  <conditionalFormatting sqref="B16">
    <cfRule type="expression" dxfId="0" priority="1">
      <formula>IF(B20="Mild", 0.55, IF(B20="Moderate", 0.5, IF(B20="Severe", 0.45, IF(B20="Very Severe", 0.4, IF(B20="Extreme", 0.35, "")))))</formula>
    </cfRule>
  </conditionalFormatting>
  <dataValidations count="4">
    <dataValidation type="list" allowBlank="1" showInputMessage="1" showErrorMessage="1" sqref="B2" xr:uid="{08980898-4ECC-412E-A250-8A8E7CE5A0E7}">
      <formula1>"M15, M20, M25, M30, M35, M40, M45, M50"</formula1>
    </dataValidation>
    <dataValidation type="list" allowBlank="1" showInputMessage="1" showErrorMessage="1" sqref="B4" xr:uid="{5E7F6647-B6EF-48D6-9042-C52A60726AD9}">
      <formula1>"10, 20, 40"</formula1>
    </dataValidation>
    <dataValidation type="list" allowBlank="1" showInputMessage="1" showErrorMessage="1" sqref="B5" xr:uid="{65D2A955-4ED0-4D73-B968-E418A6E39CFF}">
      <formula1>"50, 100, 150"</formula1>
    </dataValidation>
    <dataValidation type="list" allowBlank="1" showInputMessage="1" showErrorMessage="1" sqref="B20" xr:uid="{5E1B9054-06ED-4EBE-A8A7-1E2D33FC45CD}">
      <formula1>"Mild, Moderate, Severe, Very Severe, Extreme"</formula1>
    </dataValidation>
  </dataValidations>
  <pageMargins left="0.7" right="0.7" top="0.75" bottom="0.75" header="0.3" footer="0.3"/>
  <pageSetup scale="9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YD_Mix-design_Calculater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dhotre</dc:creator>
  <cp:lastModifiedBy>yash dhotre</cp:lastModifiedBy>
  <cp:lastPrinted>2025-01-25T14:13:11Z</cp:lastPrinted>
  <dcterms:created xsi:type="dcterms:W3CDTF">2024-12-24T15:00:00Z</dcterms:created>
  <dcterms:modified xsi:type="dcterms:W3CDTF">2025-01-25T14:29:59Z</dcterms:modified>
</cp:coreProperties>
</file>