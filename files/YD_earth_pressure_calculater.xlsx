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d\Desktop\Folders\Excel Sheets\"/>
    </mc:Choice>
  </mc:AlternateContent>
  <xr:revisionPtr revIDLastSave="0" documentId="13_ncr:1_{3DA0BBE0-2A47-4C76-B6C3-9BB0E68E9046}" xr6:coauthVersionLast="47" xr6:coauthVersionMax="47" xr10:uidLastSave="{00000000-0000-0000-0000-000000000000}"/>
  <bookViews>
    <workbookView xWindow="-120" yWindow="-120" windowWidth="20730" windowHeight="11040" xr2:uid="{AED11308-0180-41E8-B113-334675D26CB9}"/>
  </bookViews>
  <sheets>
    <sheet name="YD_Earth_Pressure-Calcul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9" i="1" s="1"/>
  <c r="B13" i="1"/>
  <c r="B12" i="1"/>
  <c r="B11" i="1"/>
  <c r="F5" i="1" l="1"/>
  <c r="G8" i="1"/>
  <c r="F13" i="1"/>
  <c r="G2" i="1"/>
  <c r="F9" i="1"/>
  <c r="G3" i="1"/>
  <c r="E10" i="1"/>
  <c r="E6" i="1"/>
  <c r="G12" i="1"/>
  <c r="E13" i="1"/>
  <c r="E9" i="1"/>
  <c r="E5" i="1"/>
  <c r="F12" i="1"/>
  <c r="F8" i="1"/>
  <c r="F4" i="1"/>
  <c r="G11" i="1"/>
  <c r="G7" i="1"/>
  <c r="G4" i="1"/>
  <c r="E2" i="1"/>
  <c r="E12" i="1"/>
  <c r="E8" i="1"/>
  <c r="E4" i="1"/>
  <c r="F11" i="1"/>
  <c r="F7" i="1"/>
  <c r="F3" i="1"/>
  <c r="G10" i="1"/>
  <c r="G6" i="1"/>
  <c r="F2" i="1"/>
  <c r="E11" i="1"/>
  <c r="E7" i="1"/>
  <c r="E3" i="1"/>
  <c r="F10" i="1"/>
  <c r="F6" i="1"/>
  <c r="H6" i="1" s="1"/>
  <c r="G13" i="1"/>
  <c r="G9" i="1"/>
  <c r="G5" i="1"/>
  <c r="B17" i="1"/>
  <c r="B18" i="1"/>
  <c r="H7" i="1" l="1"/>
  <c r="H10" i="1"/>
  <c r="H3" i="1"/>
  <c r="H2" i="1"/>
  <c r="H9" i="1"/>
  <c r="H4" i="1"/>
  <c r="H13" i="1"/>
  <c r="H11" i="1"/>
  <c r="H8" i="1"/>
  <c r="H12" i="1"/>
  <c r="H5" i="1"/>
</calcChain>
</file>

<file path=xl/sharedStrings.xml><?xml version="1.0" encoding="utf-8"?>
<sst xmlns="http://schemas.openxmlformats.org/spreadsheetml/2006/main" count="23" uniqueCount="23">
  <si>
    <t>Input Parameters</t>
  </si>
  <si>
    <t>Height of Wall (H in m)</t>
  </si>
  <si>
    <t>Unit Weight of Soil (γ in kN/m³)</t>
  </si>
  <si>
    <t>Angle of Internal Friction (ϕ in degrees)</t>
  </si>
  <si>
    <t>Cohesion (c in kN/m²)</t>
  </si>
  <si>
    <t>Surcharge Load (q in kN/m²)</t>
  </si>
  <si>
    <t>Submerged Soil? (Yes/No)</t>
  </si>
  <si>
    <t>Water Table Depth (in m)</t>
  </si>
  <si>
    <t>Calculated Parameters</t>
  </si>
  <si>
    <t>Active Earth Pressure Coefficient (Ka)</t>
  </si>
  <si>
    <t>Passive Earth Pressure Coefficient (Kp)</t>
  </si>
  <si>
    <t>At-Rest Earth Pressure Coefficient (K0)</t>
  </si>
  <si>
    <t>Depth (z in m)</t>
  </si>
  <si>
    <t>Active Pressure (pa in kN/m²)</t>
  </si>
  <si>
    <t>Passive Pressure (pp in kN/m²)</t>
  </si>
  <si>
    <t>At-Rest Pressure (p0 in kN/m²)</t>
  </si>
  <si>
    <t>Total Earth Pressure Thrust (kN)</t>
  </si>
  <si>
    <t>Passive Thrust (Tp​)</t>
  </si>
  <si>
    <t>At-Rest Thrust (T0​)</t>
  </si>
  <si>
    <t>Active Thrust (Ta​)</t>
  </si>
  <si>
    <t>Effective Unit Weight (γ')</t>
  </si>
  <si>
    <t>Yess</t>
  </si>
  <si>
    <t>Total Earth Pressure (kN/m²)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</si>
</sst>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 applyProtection="1">
      <protection locked="0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Variation of Earth Pressure with Depth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'YD_Earth_Pressure-Calculater'!$D$2:$D$13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1-4DC7-9992-7D83BCFE7FE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'YD_Earth_Pressure-Calculater'!$E$2:$E$13</c:f>
              <c:numCache>
                <c:formatCode>General</c:formatCode>
                <c:ptCount val="12"/>
                <c:pt idx="0">
                  <c:v>0</c:v>
                </c:pt>
                <c:pt idx="1">
                  <c:v>2.7299999999999995</c:v>
                </c:pt>
                <c:pt idx="2">
                  <c:v>5.4599999999999991</c:v>
                </c:pt>
                <c:pt idx="3">
                  <c:v>8.1899999999999977</c:v>
                </c:pt>
                <c:pt idx="4">
                  <c:v>10.919999999999998</c:v>
                </c:pt>
                <c:pt idx="5">
                  <c:v>13.649999999999999</c:v>
                </c:pt>
                <c:pt idx="6">
                  <c:v>16.379999999999995</c:v>
                </c:pt>
                <c:pt idx="7">
                  <c:v>19.109999999999996</c:v>
                </c:pt>
                <c:pt idx="8">
                  <c:v>21.839999999999996</c:v>
                </c:pt>
                <c:pt idx="9">
                  <c:v>24.569999999999997</c:v>
                </c:pt>
                <c:pt idx="10">
                  <c:v>27.299999999999997</c:v>
                </c:pt>
                <c:pt idx="11">
                  <c:v>30.029999999999994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1-4DC7-9992-7D83BCFE7FE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'YD_Earth_Pressure-Calculater'!$F$2:$F$13</c:f>
              <c:numCache>
                <c:formatCode>General</c:formatCode>
                <c:ptCount val="12"/>
                <c:pt idx="0">
                  <c:v>0</c:v>
                </c:pt>
                <c:pt idx="1">
                  <c:v>24.57</c:v>
                </c:pt>
                <c:pt idx="2">
                  <c:v>49.14</c:v>
                </c:pt>
                <c:pt idx="3">
                  <c:v>73.710000000000008</c:v>
                </c:pt>
                <c:pt idx="4">
                  <c:v>98.28</c:v>
                </c:pt>
                <c:pt idx="5">
                  <c:v>122.85</c:v>
                </c:pt>
                <c:pt idx="6">
                  <c:v>147.42000000000002</c:v>
                </c:pt>
                <c:pt idx="7">
                  <c:v>171.99</c:v>
                </c:pt>
                <c:pt idx="8">
                  <c:v>196.56</c:v>
                </c:pt>
                <c:pt idx="9">
                  <c:v>221.13</c:v>
                </c:pt>
                <c:pt idx="10">
                  <c:v>245.7</c:v>
                </c:pt>
                <c:pt idx="11">
                  <c:v>270.27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01-4DC7-9992-7D83BCFE7FE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'YD_Earth_Pressure-Calculater'!$G$2:$G$13</c:f>
              <c:numCache>
                <c:formatCode>General</c:formatCode>
                <c:ptCount val="12"/>
                <c:pt idx="0">
                  <c:v>0</c:v>
                </c:pt>
                <c:pt idx="1">
                  <c:v>4.0949999999999998</c:v>
                </c:pt>
                <c:pt idx="2">
                  <c:v>8.19</c:v>
                </c:pt>
                <c:pt idx="3">
                  <c:v>12.285</c:v>
                </c:pt>
                <c:pt idx="4">
                  <c:v>16.38</c:v>
                </c:pt>
                <c:pt idx="5">
                  <c:v>20.474999999999998</c:v>
                </c:pt>
                <c:pt idx="6">
                  <c:v>24.57</c:v>
                </c:pt>
                <c:pt idx="7">
                  <c:v>28.664999999999999</c:v>
                </c:pt>
                <c:pt idx="8">
                  <c:v>32.76</c:v>
                </c:pt>
                <c:pt idx="9">
                  <c:v>36.854999999999997</c:v>
                </c:pt>
                <c:pt idx="10">
                  <c:v>40.949999999999996</c:v>
                </c:pt>
                <c:pt idx="11">
                  <c:v>45.044999999999995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01-4DC7-9992-7D83BCFE7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3544640"/>
        <c:axId val="1253537920"/>
        <c:axId val="0"/>
      </c:bar3DChart>
      <c:catAx>
        <c:axId val="125354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Depth (z in 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537920"/>
        <c:crosses val="autoZero"/>
        <c:auto val="1"/>
        <c:lblAlgn val="ctr"/>
        <c:lblOffset val="100"/>
        <c:noMultiLvlLbl val="0"/>
      </c:catAx>
      <c:valAx>
        <c:axId val="125353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sz="1000" b="0" i="0" u="none" strike="noStrike" baseline="0"/>
                  <a:t>Pressure (kN/m²)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54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14</xdr:row>
      <xdr:rowOff>61911</xdr:rowOff>
    </xdr:from>
    <xdr:to>
      <xdr:col>6</xdr:col>
      <xdr:colOff>895350</xdr:colOff>
      <xdr:row>30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7A0A9-2D01-06F6-4549-CA2BEC130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EC38-6566-42A9-AD35-1A102ECB92D5}">
  <dimension ref="A1:H21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35.85546875" bestFit="1" customWidth="1"/>
    <col min="4" max="4" width="13.28515625" bestFit="1" customWidth="1"/>
    <col min="5" max="5" width="27.140625" bestFit="1" customWidth="1"/>
    <col min="6" max="6" width="28.7109375" bestFit="1" customWidth="1"/>
    <col min="7" max="7" width="28" bestFit="1" customWidth="1"/>
    <col min="8" max="8" width="26.5703125" bestFit="1" customWidth="1"/>
    <col min="9" max="9" width="4" customWidth="1"/>
  </cols>
  <sheetData>
    <row r="1" spans="1:8" x14ac:dyDescent="0.25">
      <c r="A1" s="8" t="s">
        <v>0</v>
      </c>
      <c r="B1" s="9"/>
      <c r="D1" s="4" t="s">
        <v>12</v>
      </c>
      <c r="E1" s="4" t="s">
        <v>13</v>
      </c>
      <c r="F1" s="4" t="s">
        <v>14</v>
      </c>
      <c r="G1" s="4" t="s">
        <v>15</v>
      </c>
      <c r="H1" s="5" t="s">
        <v>22</v>
      </c>
    </row>
    <row r="2" spans="1:8" x14ac:dyDescent="0.25">
      <c r="A2" s="2" t="s">
        <v>1</v>
      </c>
      <c r="B2" s="7">
        <v>6</v>
      </c>
      <c r="D2" s="2">
        <v>0</v>
      </c>
      <c r="E2" s="2">
        <f>$B$11*$B$21*D2 + $B$11*$B$7</f>
        <v>0</v>
      </c>
      <c r="F2" s="2">
        <f>$B$12*$B$21*D2 + $B$12*$B$7</f>
        <v>0</v>
      </c>
      <c r="G2" s="2">
        <f>$B$13*$B$21*D2 + $B$13*$B$7</f>
        <v>0</v>
      </c>
      <c r="H2" s="2">
        <f>E2+F2+G2</f>
        <v>0</v>
      </c>
    </row>
    <row r="3" spans="1:8" x14ac:dyDescent="0.25">
      <c r="A3" s="2" t="s">
        <v>2</v>
      </c>
      <c r="B3" s="7">
        <v>18</v>
      </c>
      <c r="D3" s="2">
        <v>1</v>
      </c>
      <c r="E3" s="2">
        <f t="shared" ref="E3:E13" si="0">$B$11*$B$21*D3 + $B$11*$B$7</f>
        <v>2.7299999999999995</v>
      </c>
      <c r="F3" s="2">
        <f t="shared" ref="F3:F13" si="1">$B$12*$B$21*D3 + $B$12*$B$7</f>
        <v>24.57</v>
      </c>
      <c r="G3" s="2">
        <f t="shared" ref="G3:G13" si="2">$B$13*$B$21*D3 + $B$13*$B$7</f>
        <v>4.0949999999999998</v>
      </c>
      <c r="H3" s="2">
        <f>E3+F3+G3</f>
        <v>31.395</v>
      </c>
    </row>
    <row r="4" spans="1:8" x14ac:dyDescent="0.25">
      <c r="A4" s="2" t="s">
        <v>3</v>
      </c>
      <c r="B4" s="7">
        <v>30</v>
      </c>
      <c r="D4" s="2">
        <v>2</v>
      </c>
      <c r="E4" s="2">
        <f t="shared" si="0"/>
        <v>5.4599999999999991</v>
      </c>
      <c r="F4" s="2">
        <f t="shared" si="1"/>
        <v>49.14</v>
      </c>
      <c r="G4" s="2">
        <f>$B$13*$B$21*D4 + $B$13*$B$7</f>
        <v>8.19</v>
      </c>
      <c r="H4" s="2">
        <f t="shared" ref="H4:H13" si="3">E4+F4+G4</f>
        <v>62.79</v>
      </c>
    </row>
    <row r="5" spans="1:8" x14ac:dyDescent="0.25">
      <c r="A5" s="2" t="s">
        <v>4</v>
      </c>
      <c r="B5" s="7"/>
      <c r="D5" s="2">
        <v>3</v>
      </c>
      <c r="E5" s="2">
        <f t="shared" si="0"/>
        <v>8.1899999999999977</v>
      </c>
      <c r="F5" s="2">
        <f t="shared" si="1"/>
        <v>73.710000000000008</v>
      </c>
      <c r="G5" s="2">
        <f t="shared" si="2"/>
        <v>12.285</v>
      </c>
      <c r="H5" s="2">
        <f t="shared" si="3"/>
        <v>94.185000000000002</v>
      </c>
    </row>
    <row r="6" spans="1:8" x14ac:dyDescent="0.25">
      <c r="A6" s="2" t="s">
        <v>6</v>
      </c>
      <c r="B6" s="7" t="s">
        <v>21</v>
      </c>
      <c r="D6" s="2">
        <v>4</v>
      </c>
      <c r="E6" s="2">
        <f t="shared" si="0"/>
        <v>10.919999999999998</v>
      </c>
      <c r="F6" s="2">
        <f t="shared" si="1"/>
        <v>98.28</v>
      </c>
      <c r="G6" s="2">
        <f t="shared" si="2"/>
        <v>16.38</v>
      </c>
      <c r="H6" s="2">
        <f t="shared" si="3"/>
        <v>125.58</v>
      </c>
    </row>
    <row r="7" spans="1:8" x14ac:dyDescent="0.25">
      <c r="A7" s="2" t="s">
        <v>5</v>
      </c>
      <c r="B7" s="7"/>
      <c r="D7" s="2">
        <v>5</v>
      </c>
      <c r="E7" s="2">
        <f t="shared" si="0"/>
        <v>13.649999999999999</v>
      </c>
      <c r="F7" s="2">
        <f t="shared" si="1"/>
        <v>122.85</v>
      </c>
      <c r="G7" s="2">
        <f t="shared" si="2"/>
        <v>20.474999999999998</v>
      </c>
      <c r="H7" s="2">
        <f t="shared" si="3"/>
        <v>156.97499999999999</v>
      </c>
    </row>
    <row r="8" spans="1:8" x14ac:dyDescent="0.25">
      <c r="A8" s="2" t="s">
        <v>7</v>
      </c>
      <c r="B8" s="7"/>
      <c r="D8" s="2">
        <v>6</v>
      </c>
      <c r="E8" s="2">
        <f t="shared" si="0"/>
        <v>16.379999999999995</v>
      </c>
      <c r="F8" s="2">
        <f t="shared" si="1"/>
        <v>147.42000000000002</v>
      </c>
      <c r="G8" s="2">
        <f t="shared" si="2"/>
        <v>24.57</v>
      </c>
      <c r="H8" s="2">
        <f t="shared" si="3"/>
        <v>188.37</v>
      </c>
    </row>
    <row r="9" spans="1:8" x14ac:dyDescent="0.25">
      <c r="D9" s="2">
        <v>7</v>
      </c>
      <c r="E9" s="2">
        <f t="shared" si="0"/>
        <v>19.109999999999996</v>
      </c>
      <c r="F9" s="2">
        <f t="shared" si="1"/>
        <v>171.99</v>
      </c>
      <c r="G9" s="2">
        <f t="shared" si="2"/>
        <v>28.664999999999999</v>
      </c>
      <c r="H9" s="2">
        <f t="shared" si="3"/>
        <v>219.76499999999999</v>
      </c>
    </row>
    <row r="10" spans="1:8" x14ac:dyDescent="0.25">
      <c r="A10" s="8" t="s">
        <v>8</v>
      </c>
      <c r="B10" s="9"/>
      <c r="D10" s="2">
        <v>8</v>
      </c>
      <c r="E10" s="2">
        <f t="shared" si="0"/>
        <v>21.839999999999996</v>
      </c>
      <c r="F10" s="2">
        <f t="shared" si="1"/>
        <v>196.56</v>
      </c>
      <c r="G10" s="2">
        <f t="shared" si="2"/>
        <v>32.76</v>
      </c>
      <c r="H10" s="2">
        <f t="shared" si="3"/>
        <v>251.16</v>
      </c>
    </row>
    <row r="11" spans="1:8" ht="15.75" x14ac:dyDescent="0.3">
      <c r="A11" s="3" t="s">
        <v>9</v>
      </c>
      <c r="B11" s="2">
        <f>(1-SIN(RADIANS(B4)))/(1+SIN(RADIANS(B4)))</f>
        <v>0.33333333333333331</v>
      </c>
      <c r="D11" s="2">
        <v>9</v>
      </c>
      <c r="E11" s="2">
        <f t="shared" si="0"/>
        <v>24.569999999999997</v>
      </c>
      <c r="F11" s="2">
        <f t="shared" si="1"/>
        <v>221.13</v>
      </c>
      <c r="G11" s="2">
        <f t="shared" si="2"/>
        <v>36.854999999999997</v>
      </c>
      <c r="H11" s="2">
        <f t="shared" si="3"/>
        <v>282.55500000000001</v>
      </c>
    </row>
    <row r="12" spans="1:8" x14ac:dyDescent="0.25">
      <c r="A12" s="2" t="s">
        <v>10</v>
      </c>
      <c r="B12" s="2">
        <f>(1+SIN(RADIANS(B4)))/(1-SIN(RADIANS(B4)))</f>
        <v>3</v>
      </c>
      <c r="D12" s="2">
        <v>10</v>
      </c>
      <c r="E12" s="2">
        <f t="shared" si="0"/>
        <v>27.299999999999997</v>
      </c>
      <c r="F12" s="2">
        <f t="shared" si="1"/>
        <v>245.7</v>
      </c>
      <c r="G12" s="2">
        <f t="shared" si="2"/>
        <v>40.949999999999996</v>
      </c>
      <c r="H12" s="2">
        <f t="shared" si="3"/>
        <v>313.95</v>
      </c>
    </row>
    <row r="13" spans="1:8" x14ac:dyDescent="0.25">
      <c r="A13" s="2" t="s">
        <v>11</v>
      </c>
      <c r="B13" s="2">
        <f>1-SIN(RADIANS(B4))</f>
        <v>0.5</v>
      </c>
      <c r="D13" s="2">
        <v>11</v>
      </c>
      <c r="E13" s="2">
        <f t="shared" si="0"/>
        <v>30.029999999999994</v>
      </c>
      <c r="F13" s="2">
        <f t="shared" si="1"/>
        <v>270.27</v>
      </c>
      <c r="G13" s="2">
        <f t="shared" si="2"/>
        <v>45.044999999999995</v>
      </c>
      <c r="H13" s="2">
        <f t="shared" si="3"/>
        <v>345.34499999999997</v>
      </c>
    </row>
    <row r="14" spans="1:8" x14ac:dyDescent="0.25">
      <c r="A14" s="1"/>
    </row>
    <row r="16" spans="1:8" x14ac:dyDescent="0.25">
      <c r="A16" s="8" t="s">
        <v>16</v>
      </c>
      <c r="B16" s="9"/>
    </row>
    <row r="17" spans="1:2" x14ac:dyDescent="0.25">
      <c r="A17" s="2" t="s">
        <v>19</v>
      </c>
      <c r="B17" s="2">
        <f>0.5*$B$11*$B$21*B$2^2</f>
        <v>49.139999999999993</v>
      </c>
    </row>
    <row r="18" spans="1:2" x14ac:dyDescent="0.25">
      <c r="A18" s="2" t="s">
        <v>17</v>
      </c>
      <c r="B18" s="2">
        <f>0.5*$B$12*$B$21*B$2^2</f>
        <v>442.26</v>
      </c>
    </row>
    <row r="19" spans="1:2" x14ac:dyDescent="0.25">
      <c r="A19" s="2" t="s">
        <v>18</v>
      </c>
      <c r="B19" s="2">
        <f>0.5*$B$13*$B$21*B$2^2</f>
        <v>73.709999999999994</v>
      </c>
    </row>
    <row r="21" spans="1:2" x14ac:dyDescent="0.25">
      <c r="A21" s="6" t="s">
        <v>20</v>
      </c>
      <c r="B21" s="2">
        <f>IF(B6="Yess", B3-9.81, B3)</f>
        <v>8.19</v>
      </c>
    </row>
  </sheetData>
  <sheetProtection algorithmName="SHA-512" hashValue="xL/r892cwEVq48A00GPD+g1irXovTTbFO0K4nxeD0LVVKNmDLalRisYL4T77gstWlDbbtjvPcLFWlM/crPnJNg==" saltValue="Sz5V/7TTnKUxh3ieLKwmGA==" spinCount="100000" sheet="1" objects="1" scenarios="1" selectLockedCells="1"/>
  <mergeCells count="3">
    <mergeCell ref="A1:B1"/>
    <mergeCell ref="A10:B10"/>
    <mergeCell ref="A16:B16"/>
  </mergeCells>
  <conditionalFormatting sqref="B2:B8">
    <cfRule type="expression" dxfId="0" priority="1">
      <formula>ISBLANK(B2)</formula>
    </cfRule>
  </conditionalFormatting>
  <dataValidations disablePrompts="1" count="1">
    <dataValidation type="list" allowBlank="1" showInputMessage="1" showErrorMessage="1" sqref="B6" xr:uid="{B2DD9E1B-4AF3-4221-B1FB-9A17FBBA98D7}">
      <formula1>"Yess,No"</formula1>
    </dataValidation>
  </dataValidation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YD_Earth_Pressure-Calculater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dhotre</dc:creator>
  <cp:lastModifiedBy>yash dhotre</cp:lastModifiedBy>
  <cp:lastPrinted>2025-01-25T14:40:49Z</cp:lastPrinted>
  <dcterms:created xsi:type="dcterms:W3CDTF">2024-12-21T14:34:57Z</dcterms:created>
  <dcterms:modified xsi:type="dcterms:W3CDTF">2025-01-25T14:41:52Z</dcterms:modified>
</cp:coreProperties>
</file>